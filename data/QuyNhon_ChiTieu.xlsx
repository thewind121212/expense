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Chi tiế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<sst xmlns="http://schemas.openxmlformats.org/spreadsheetml/2006/main" count="157" uniqueCount="69">
  <si>
    <t xml:space="preserve">QUẢN LÝ CHI TIÊU — DU LỊCH QUY NHƠN (5N4Đ)</t>
  </si>
  <si>
    <t xml:space="preserve">Tháng 6/2026  •  đơn vị: đồng (đ)  •  số liệu cập nhật tới ngày 6/6</t>
  </si>
  <si>
    <t xml:space="preserve">TỔNG CHI TIÊU</t>
  </si>
  <si>
    <t xml:space="preserve">SỐ NGÀY ĐÃ ĐI</t>
  </si>
  <si>
    <t xml:space="preserve">TRUNG BÌNH / NGÀY</t>
  </si>
  <si>
    <t xml:space="preserve">SỐ GIAO DỊCH</t>
  </si>
  <si>
    <t xml:space="preserve">CHI TIÊU THEO NGÀY</t>
  </si>
  <si>
    <t xml:space="preserve">CHI TIÊU THEO DANH MỤC</t>
  </si>
  <si>
    <t xml:space="preserve">Ngày</t>
  </si>
  <si>
    <t xml:space="preserve">Số tiền</t>
  </si>
  <si>
    <t xml:space="preserve">Tỉ lệ</t>
  </si>
  <si>
    <t xml:space="preserve">Danh mục</t>
  </si>
  <si>
    <t xml:space="preserve">4/6</t>
  </si>
  <si>
    <t xml:space="preserve">Ăn uống</t>
  </si>
  <si>
    <t xml:space="preserve">5/6</t>
  </si>
  <si>
    <t xml:space="preserve">Di chuyển</t>
  </si>
  <si>
    <t xml:space="preserve">6/6</t>
  </si>
  <si>
    <t xml:space="preserve">Đồ dùng &amp; tạp hóa</t>
  </si>
  <si>
    <t xml:space="preserve">7/6</t>
  </si>
  <si>
    <t xml:space="preserve">Tổng</t>
  </si>
  <si>
    <t xml:space="preserve">8/6</t>
  </si>
  <si>
    <t xml:space="preserve">NGÂN SÁCH (tuỳ chọn — nhập số vào ô vàng)</t>
  </si>
  <si>
    <t xml:space="preserve">Ngân sách dự kiến</t>
  </si>
  <si>
    <t xml:space="preserve">Đã chi</t>
  </si>
  <si>
    <t xml:space="preserve">Còn lại</t>
  </si>
  <si>
    <t xml:space="preserve">% ngân sách đã dùng</t>
  </si>
  <si>
    <t xml:space="preserve">CHI TIẾT CHI TIÊU — nhập thêm dòng mới ở đây (số tiền: đồng)</t>
  </si>
  <si>
    <t xml:space="preserve">Hạng mục</t>
  </si>
  <si>
    <t xml:space="preserve">Số tiền (đ)</t>
  </si>
  <si>
    <t xml:space="preserve">Ghi chú</t>
  </si>
  <si>
    <t xml:space="preserve">Xe taxi</t>
  </si>
  <si>
    <t xml:space="preserve">Mực</t>
  </si>
  <si>
    <t xml:space="preserve">Hải sản</t>
  </si>
  <si>
    <t xml:space="preserve">Tôm</t>
  </si>
  <si>
    <t xml:space="preserve">Tôm lột</t>
  </si>
  <si>
    <t xml:space="preserve">Cua</t>
  </si>
  <si>
    <t xml:space="preserve">Ăn tối</t>
  </si>
  <si>
    <t xml:space="preserve">Ăn cơm</t>
  </si>
  <si>
    <t xml:space="preserve">Bánh canh + bánh cuốn Tây Sơn</t>
  </si>
  <si>
    <t xml:space="preserve">Ăn sáng</t>
  </si>
  <si>
    <t xml:space="preserve">Mì gói</t>
  </si>
  <si>
    <t xml:space="preserve">Ăn sáng / dự trữ</t>
  </si>
  <si>
    <t xml:space="preserve">Bột giặt</t>
  </si>
  <si>
    <t xml:space="preserve">Dầu ăn</t>
  </si>
  <si>
    <t xml:space="preserve">Cafe</t>
  </si>
  <si>
    <t xml:space="preserve">Kem</t>
  </si>
  <si>
    <t xml:space="preserve">Nước uống</t>
  </si>
  <si>
    <t xml:space="preserve">Ghẹ</t>
  </si>
  <si>
    <t xml:space="preserve">Ốc hương</t>
  </si>
  <si>
    <t xml:space="preserve">Tôm biển</t>
  </si>
  <si>
    <t xml:space="preserve">Bánh tráng</t>
  </si>
  <si>
    <t xml:space="preserve">Chôm chôm</t>
  </si>
  <si>
    <t xml:space="preserve">Trái cây</t>
  </si>
  <si>
    <t xml:space="preserve">Tiền xe đi về</t>
  </si>
  <si>
    <t xml:space="preserve">Đường, mắm</t>
  </si>
  <si>
    <t xml:space="preserve">Gia vị</t>
  </si>
  <si>
    <t xml:space="preserve">Rau bí, cà, cần</t>
  </si>
  <si>
    <t xml:space="preserve">Xe đi về</t>
  </si>
  <si>
    <t xml:space="preserve">Ổi, mận</t>
  </si>
  <si>
    <t xml:space="preserve">Chả cá bánh canh</t>
  </si>
  <si>
    <t xml:space="preserve">Thịt</t>
  </si>
  <si>
    <t xml:space="preserve">Chè + nem</t>
  </si>
  <si>
    <t xml:space="preserve">Đậu + tàu hũ</t>
  </si>
  <si>
    <t xml:space="preserve">Mắm</t>
  </si>
  <si>
    <t xml:space="preserve">Thơm (trái)</t>
  </si>
  <si>
    <t xml:space="preserve">Rau cải, hành</t>
  </si>
  <si>
    <t xml:space="preserve">Cafe Effoc</t>
  </si>
  <si>
    <t xml:space="preserve">Giấy vệ sinh</t>
  </si>
  <si>
    <t xml:space="preserve">TỔNG CỘNG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</si>
</sst>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đ&quot;"/>
    <numFmt numFmtId="166" formatCode="General"/>
    <numFmt numFmtId="167" formatCode="@"/>
    <numFmt numFmtId="168" formatCode="0.0%"/>
    <numFmt numFmtId="169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34E4A"/>
      <name val="Arial"/>
      <family val="0"/>
      <charset val="1"/>
    </font>
    <font>
      <b val="true"/>
      <sz val="16"/>
      <color rgb="FF0F766E"/>
      <name val="Arial"/>
      <family val="0"/>
      <charset val="1"/>
    </font>
    <font>
      <b val="true"/>
      <sz val="16"/>
      <color rgb="FF2563EB"/>
      <name val="Arial"/>
      <family val="0"/>
      <charset val="1"/>
    </font>
    <font>
      <b val="true"/>
      <sz val="16"/>
      <color rgb="FFEA580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sz val="11"/>
      <color rgb="FF0F172A"/>
      <name val="Arial"/>
      <family val="0"/>
      <charset val="1"/>
    </font>
    <font>
      <b val="true"/>
      <sz val="11"/>
      <color rgb="FFEA580C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b val="true"/>
      <sz val="11"/>
      <color rgb="FF7C3AE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34E4A"/>
        <bgColor rgb="FF333333"/>
      </patternFill>
    </fill>
    <fill>
      <patternFill patternType="solid">
        <fgColor rgb="FFF0FDFA"/>
        <bgColor rgb="FFF8FAFC"/>
      </patternFill>
    </fill>
    <fill>
      <patternFill patternType="solid">
        <fgColor rgb="FF0F766E"/>
        <bgColor rgb="FF008080"/>
      </patternFill>
    </fill>
    <fill>
      <patternFill patternType="solid">
        <fgColor rgb="FF2563EB"/>
        <bgColor rgb="FF0066CC"/>
      </patternFill>
    </fill>
    <fill>
      <patternFill patternType="solid">
        <fgColor rgb="FFEA580C"/>
        <bgColor rgb="FFC0504D"/>
      </patternFill>
    </fill>
    <fill>
      <patternFill patternType="solid">
        <fgColor rgb="FFF8FAFC"/>
        <bgColor rgb="FFF9F9F9"/>
      </patternFill>
    </fill>
    <fill>
      <patternFill patternType="solid">
        <fgColor rgb="FF7C3AED"/>
        <bgColor rgb="FF333399"/>
      </patternFill>
    </fill>
    <fill>
      <patternFill patternType="solid">
        <fgColor rgb="FFFEF9C3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78787"/>
      <rgbColor rgb="FF9999FF"/>
      <rgbColor rgb="FFC0504D"/>
      <rgbColor rgb="FFFEF9C3"/>
      <rgbColor rgb="FFF0FD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9F9F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EA580C"/>
      <rgbColor rgb="FF475569"/>
      <rgbColor rgb="FF969696"/>
      <rgbColor rgb="FF134E4A"/>
      <rgbColor rgb="FF4F81BD"/>
      <rgbColor rgb="FF0F172A"/>
      <rgbColor rgb="FF333300"/>
      <rgbColor rgb="FF993300"/>
      <rgbColor rgb="FF7C3AE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 tiêu theo ngày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'Tổng quan'!C10</c:f>
              <c:strCache>
                <c:ptCount val="1"/>
                <c:pt idx="0">
                  <c:v>Số tiền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quan'!$B$11:$B$15</c:f>
              <c:strCache>
                <c:ptCount val="5"/>
                <c:pt idx="0">
                  <c:v>4/6</c:v>
                </c:pt>
                <c:pt idx="1">
                  <c:v>5/6</c:v>
                </c:pt>
                <c:pt idx="2">
                  <c:v>6/6</c:v>
                </c:pt>
                <c:pt idx="3">
                  <c:v>7/6</c:v>
                </c:pt>
                <c:pt idx="4">
                  <c:v>8/6</c:v>
                </c:pt>
              </c:strCache>
            </c:strRef>
          </c:cat>
          <c:val>
            <c:numRef>
              <c:f>'Tổng quan'!$C$11:$C$15</c:f>
              <c:numCache>
                <c:formatCode>#,##0" đ"</c:formatCode>
                <c:ptCount val="5"/>
                <c:pt idx="0">
                  <c:v>1550000</c:v>
                </c:pt>
                <c:pt idx="1">
                  <c:v>1792000</c:v>
                </c:pt>
                <c:pt idx="2">
                  <c:v>1015000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29828849"/>
        <c:axId val="40850781"/>
      </c:barChart>
      <c:catAx>
        <c:axId val="298288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50781"/>
        <c:crosses val="autoZero"/>
        <c:auto val="1"/>
        <c:lblAlgn val="ctr"/>
        <c:lblOffset val="100"/>
        <c:noMultiLvlLbl val="0"/>
      </c:catAx>
      <c:valAx>
        <c:axId val="408507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288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 tiêu theo danh mục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'Tổng quan'!G10</c:f>
              <c:strCache>
                <c:ptCount val="1"/>
                <c:pt idx="0">
                  <c:v>Số tiền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quan'!$F$11:$F$13</c:f>
              <c:strCache>
                <c:ptCount val="3"/>
                <c:pt idx="0">
                  <c:v>Ăn uống</c:v>
                </c:pt>
                <c:pt idx="1">
                  <c:v>Di chuyển</c:v>
                </c:pt>
                <c:pt idx="2">
                  <c:v>Đồ dùng &amp; tạp hóa</c:v>
                </c:pt>
              </c:strCache>
            </c:strRef>
          </c:cat>
          <c:val>
            <c:numRef>
              <c:f>'Tổng quan'!$G$11:$G$13</c:f>
              <c:numCache>
                <c:formatCode>#,##0" đ"</c:formatCode>
                <c:ptCount val="3"/>
                <c:pt idx="0">
                  <c:v>3821000</c:v>
                </c:pt>
                <c:pt idx="1">
                  <c:v>314000</c:v>
                </c:pt>
                <c:pt idx="2">
                  <c:v>222000</c:v>
                </c:pt>
              </c:numCache>
            </c:numRef>
          </c:val>
        </c:ser>
        <c:gapWidth val="150"/>
        <c:overlap val="0"/>
        <c:axId val="43692651"/>
        <c:axId val="86054021"/>
      </c:barChart>
      <c:catAx>
        <c:axId val="43692651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54021"/>
        <c:crosses val="autoZero"/>
        <c:auto val="1"/>
        <c:lblAlgn val="ctr"/>
        <c:lblOffset val="100"/>
        <c:noMultiLvlLbl val="0"/>
      </c:catAx>
      <c:valAx>
        <c:axId val="86054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đ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92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5</xdr:col>
      <xdr:colOff>802800</xdr:colOff>
      <xdr:row>37</xdr:row>
      <xdr:rowOff>32760</xdr:rowOff>
    </xdr:to>
    <xdr:graphicFrame>
      <xdr:nvGraphicFramePr>
        <xdr:cNvPr id="0" name="Chart 1"/>
        <xdr:cNvGraphicFramePr/>
      </xdr:nvGraphicFramePr>
      <xdr:xfrm>
        <a:off x="211320" y="48578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9</xdr:col>
      <xdr:colOff>402840</xdr:colOff>
      <xdr:row>37</xdr:row>
      <xdr:rowOff>32760</xdr:rowOff>
    </xdr:to>
    <xdr:graphicFrame>
      <xdr:nvGraphicFramePr>
        <xdr:cNvPr id="1" name="Chart 2"/>
        <xdr:cNvGraphicFramePr/>
      </xdr:nvGraphicFramePr>
      <xdr:xfrm>
        <a:off x="4088160" y="48578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2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8" hidden="false" customHeight="true" outlineLevel="0" collapsed="false">
      <c r="B5" s="3" t="s">
        <v>2</v>
      </c>
      <c r="C5" s="3"/>
      <c r="D5" s="4" t="s">
        <v>3</v>
      </c>
      <c r="E5" s="4"/>
      <c r="F5" s="5" t="s">
        <v>4</v>
      </c>
      <c r="G5" s="6" t="s">
        <v>5</v>
      </c>
      <c r="H5" s="6"/>
    </row>
    <row r="6" customFormat="false" ht="15.75" hidden="false" customHeight="true" outlineLevel="0" collapsed="false">
      <c r="B6" s="7" t="n">
        <f aca="false">SUM('Chi tiết'!$D$3:$D$80)</f>
        <v>4357000</v>
      </c>
      <c r="C6" s="7"/>
      <c r="D6" s="8" t="n">
        <f aca="false">COUNTIF(C11:C15,"&gt;0")</f>
        <v>3</v>
      </c>
      <c r="E6" s="8"/>
      <c r="F6" s="9" t="n">
        <f aca="false">IFERROR(AVERAGEIF(C11:C15,"&gt;0",C11:C15),0)</f>
        <v>1452333.33333333</v>
      </c>
      <c r="G6" s="10" t="n">
        <f aca="false">COUNTA('Chi tiết'!$B$3:$B$80)</f>
        <v>35</v>
      </c>
      <c r="H6" s="10"/>
    </row>
    <row r="7" customFormat="false" ht="15.75" hidden="false" customHeight="true" outlineLevel="0" collapsed="false">
      <c r="B7" s="7"/>
      <c r="C7" s="7"/>
      <c r="D7" s="8"/>
      <c r="E7" s="8"/>
      <c r="F7" s="9"/>
      <c r="G7" s="9"/>
      <c r="H7" s="10"/>
    </row>
    <row r="9" customFormat="false" ht="21.75" hidden="false" customHeight="true" outlineLevel="0" collapsed="false">
      <c r="B9" s="11" t="s">
        <v>6</v>
      </c>
      <c r="C9" s="11"/>
      <c r="D9" s="11"/>
      <c r="F9" s="11" t="s">
        <v>7</v>
      </c>
      <c r="G9" s="11"/>
      <c r="H9" s="11"/>
    </row>
    <row r="10" customFormat="false" ht="15" hidden="false" customHeight="false" outlineLevel="0" collapsed="false">
      <c r="B10" s="12" t="s">
        <v>8</v>
      </c>
      <c r="C10" s="12" t="s">
        <v>9</v>
      </c>
      <c r="D10" s="12" t="s">
        <v>10</v>
      </c>
      <c r="F10" s="12" t="s">
        <v>11</v>
      </c>
      <c r="G10" s="12" t="s">
        <v>9</v>
      </c>
      <c r="H10" s="12" t="s">
        <v>10</v>
      </c>
    </row>
    <row r="11" customFormat="false" ht="15" hidden="false" customHeight="false" outlineLevel="0" collapsed="false">
      <c r="B11" s="13" t="s">
        <v>12</v>
      </c>
      <c r="C11" s="14" t="n">
        <f aca="false">SUMIF('Chi tiết'!$A$3:$A$80,B11,'Chi tiết'!$D$3:$D$80)</f>
        <v>1550000</v>
      </c>
      <c r="D11" s="15" t="n">
        <f aca="false">IFERROR(C11/$C$16,0)</f>
        <v>0.355749368831765</v>
      </c>
      <c r="F11" s="16" t="s">
        <v>13</v>
      </c>
      <c r="G11" s="14" t="n">
        <f aca="false">SUMIF('Chi tiết'!$C$3:$C$80,F11,'Chi tiết'!$D$3:$D$80)</f>
        <v>3821000</v>
      </c>
      <c r="H11" s="15" t="n">
        <f aca="false">IFERROR(G11/$G$14,0)</f>
        <v>0.876979573100757</v>
      </c>
    </row>
    <row r="12" customFormat="false" ht="15" hidden="false" customHeight="false" outlineLevel="0" collapsed="false">
      <c r="B12" s="17" t="s">
        <v>14</v>
      </c>
      <c r="C12" s="18" t="n">
        <f aca="false">SUMIF('Chi tiết'!$A$3:$A$80,B12,'Chi tiết'!$D$3:$D$80)</f>
        <v>1792000</v>
      </c>
      <c r="D12" s="19" t="n">
        <f aca="false">IFERROR(C12/$C$16,0)</f>
        <v>0.411292173513886</v>
      </c>
      <c r="F12" s="20" t="s">
        <v>15</v>
      </c>
      <c r="G12" s="18" t="n">
        <f aca="false">SUMIF('Chi tiết'!$C$3:$C$80,F12,'Chi tiết'!$D$3:$D$80)</f>
        <v>314000</v>
      </c>
      <c r="H12" s="19" t="n">
        <f aca="false">IFERROR(G12/$G$14,0)</f>
        <v>0.0720679366536608</v>
      </c>
    </row>
    <row r="13" customFormat="false" ht="15" hidden="false" customHeight="false" outlineLevel="0" collapsed="false">
      <c r="B13" s="13" t="s">
        <v>16</v>
      </c>
      <c r="C13" s="14" t="n">
        <f aca="false">SUMIF('Chi tiết'!$A$3:$A$80,B13,'Chi tiết'!$D$3:$D$80)</f>
        <v>1015000</v>
      </c>
      <c r="D13" s="15" t="n">
        <f aca="false">IFERROR(C13/$C$16,0)</f>
        <v>0.232958457654349</v>
      </c>
      <c r="F13" s="21" t="s">
        <v>17</v>
      </c>
      <c r="G13" s="14" t="n">
        <f aca="false">SUMIF('Chi tiết'!$C$3:$C$80,F13,'Chi tiết'!$D$3:$D$80)</f>
        <v>222000</v>
      </c>
      <c r="H13" s="15" t="n">
        <f aca="false">IFERROR(G13/$G$14,0)</f>
        <v>0.0509524902455818</v>
      </c>
    </row>
    <row r="14" customFormat="false" ht="15" hidden="false" customHeight="false" outlineLevel="0" collapsed="false">
      <c r="B14" s="17" t="s">
        <v>18</v>
      </c>
      <c r="C14" s="18" t="n">
        <f aca="false">SUMIF('Chi tiết'!$A$3:$A$80,B14,'Chi tiết'!$D$3:$D$80)</f>
        <v>0</v>
      </c>
      <c r="D14" s="19" t="n">
        <f aca="false">IFERROR(C14/$C$16,0)</f>
        <v>0</v>
      </c>
      <c r="F14" s="22" t="s">
        <v>19</v>
      </c>
      <c r="G14" s="23" t="n">
        <f aca="false">SUM(G11:G13)</f>
        <v>4357000</v>
      </c>
      <c r="H14" s="24" t="n">
        <v>1</v>
      </c>
    </row>
    <row r="15" customFormat="false" ht="15" hidden="false" customHeight="false" outlineLevel="0" collapsed="false">
      <c r="B15" s="13" t="s">
        <v>20</v>
      </c>
      <c r="C15" s="14" t="n">
        <f aca="false">SUMIF('Chi tiết'!$A$3:$A$80,B15,'Chi tiết'!$D$3:$D$80)</f>
        <v>0</v>
      </c>
      <c r="D15" s="15" t="n">
        <f aca="false">IFERROR(C15/$C$16,0)</f>
        <v>0</v>
      </c>
    </row>
    <row r="16" customFormat="false" ht="15" hidden="false" customHeight="false" outlineLevel="0" collapsed="false">
      <c r="B16" s="25" t="s">
        <v>19</v>
      </c>
      <c r="C16" s="23" t="n">
        <f aca="false">SUM(C11:C15)</f>
        <v>4357000</v>
      </c>
      <c r="D16" s="24" t="n">
        <v>1</v>
      </c>
    </row>
    <row r="18" customFormat="false" ht="19.5" hidden="false" customHeight="true" outlineLevel="0" collapsed="false">
      <c r="B18" s="26" t="s">
        <v>21</v>
      </c>
      <c r="C18" s="26"/>
      <c r="D18" s="26"/>
    </row>
    <row r="19" customFormat="false" ht="15" hidden="false" customHeight="false" outlineLevel="0" collapsed="false">
      <c r="B19" s="27" t="s">
        <v>22</v>
      </c>
      <c r="C19" s="28"/>
      <c r="D19" s="29"/>
    </row>
    <row r="20" customFormat="false" ht="15" hidden="false" customHeight="false" outlineLevel="0" collapsed="false">
      <c r="B20" s="30" t="s">
        <v>23</v>
      </c>
      <c r="C20" s="14" t="n">
        <f aca="false">SUM('Chi tiết'!$D$3:$D$80)</f>
        <v>4357000</v>
      </c>
      <c r="D20" s="29"/>
    </row>
    <row r="21" customFormat="false" ht="15" hidden="false" customHeight="false" outlineLevel="0" collapsed="false">
      <c r="B21" s="30" t="s">
        <v>24</v>
      </c>
      <c r="C21" s="14" t="str">
        <f aca="false">IF(C19=0,"—",C19-C20)</f>
        <v>—</v>
      </c>
      <c r="D21" s="29"/>
    </row>
    <row r="22" customFormat="false" ht="15" hidden="false" customHeight="false" outlineLevel="0" collapsed="false">
      <c r="B22" s="31" t="s">
        <v>25</v>
      </c>
      <c r="C22" s="32" t="str">
        <f aca="false">IF(C19=0,"—",C20/C19)</f>
        <v>—</v>
      </c>
    </row>
  </sheetData>
  <mergeCells count="12">
    <mergeCell ref="B2:H2"/>
    <mergeCell ref="B3:H3"/>
    <mergeCell ref="B5:C5"/>
    <mergeCell ref="D5:E5"/>
    <mergeCell ref="G5:H5"/>
    <mergeCell ref="B6:C7"/>
    <mergeCell ref="D6:E7"/>
    <mergeCell ref="F6:F7"/>
    <mergeCell ref="G6:H7"/>
    <mergeCell ref="B9:D9"/>
    <mergeCell ref="F9:H9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33" t="s">
        <v>26</v>
      </c>
      <c r="B1" s="33"/>
      <c r="C1" s="33"/>
      <c r="D1" s="33"/>
      <c r="E1" s="33"/>
    </row>
    <row r="2" customFormat="false" ht="21.75" hidden="false" customHeight="true" outlineLevel="0" collapsed="false">
      <c r="A2" s="34" t="s">
        <v>8</v>
      </c>
      <c r="B2" s="34" t="s">
        <v>27</v>
      </c>
      <c r="C2" s="34" t="s">
        <v>11</v>
      </c>
      <c r="D2" s="34" t="s">
        <v>28</v>
      </c>
      <c r="E2" s="34" t="s">
        <v>29</v>
      </c>
    </row>
    <row r="3" customFormat="false" ht="15" hidden="false" customHeight="false" outlineLevel="0" collapsed="false">
      <c r="A3" s="35" t="s">
        <v>12</v>
      </c>
      <c r="B3" s="36" t="s">
        <v>30</v>
      </c>
      <c r="C3" s="37" t="s">
        <v>15</v>
      </c>
      <c r="D3" s="14" t="n">
        <v>200000</v>
      </c>
      <c r="E3" s="36"/>
    </row>
    <row r="4" customFormat="false" ht="15" hidden="false" customHeight="false" outlineLevel="0" collapsed="false">
      <c r="A4" s="38" t="s">
        <v>12</v>
      </c>
      <c r="B4" s="39" t="s">
        <v>31</v>
      </c>
      <c r="C4" s="40" t="s">
        <v>13</v>
      </c>
      <c r="D4" s="18" t="n">
        <v>350000</v>
      </c>
      <c r="E4" s="39" t="s">
        <v>32</v>
      </c>
    </row>
    <row r="5" customFormat="false" ht="15" hidden="false" customHeight="false" outlineLevel="0" collapsed="false">
      <c r="A5" s="35" t="s">
        <v>12</v>
      </c>
      <c r="B5" s="36" t="s">
        <v>33</v>
      </c>
      <c r="C5" s="41" t="s">
        <v>13</v>
      </c>
      <c r="D5" s="14" t="n">
        <v>340000</v>
      </c>
      <c r="E5" s="36" t="s">
        <v>32</v>
      </c>
    </row>
    <row r="6" customFormat="false" ht="15" hidden="false" customHeight="false" outlineLevel="0" collapsed="false">
      <c r="A6" s="38" t="s">
        <v>12</v>
      </c>
      <c r="B6" s="39" t="s">
        <v>34</v>
      </c>
      <c r="C6" s="40" t="s">
        <v>13</v>
      </c>
      <c r="D6" s="18" t="n">
        <v>130000</v>
      </c>
      <c r="E6" s="39" t="s">
        <v>32</v>
      </c>
    </row>
    <row r="7" customFormat="false" ht="15" hidden="false" customHeight="false" outlineLevel="0" collapsed="false">
      <c r="A7" s="35" t="s">
        <v>12</v>
      </c>
      <c r="B7" s="36" t="s">
        <v>35</v>
      </c>
      <c r="C7" s="41" t="s">
        <v>13</v>
      </c>
      <c r="D7" s="14" t="n">
        <v>300000</v>
      </c>
      <c r="E7" s="36" t="s">
        <v>32</v>
      </c>
    </row>
    <row r="8" customFormat="false" ht="15" hidden="false" customHeight="false" outlineLevel="0" collapsed="false">
      <c r="A8" s="38" t="s">
        <v>12</v>
      </c>
      <c r="B8" s="39" t="s">
        <v>36</v>
      </c>
      <c r="C8" s="40" t="s">
        <v>13</v>
      </c>
      <c r="D8" s="18" t="n">
        <v>130000</v>
      </c>
      <c r="E8" s="39"/>
    </row>
    <row r="9" customFormat="false" ht="15" hidden="false" customHeight="false" outlineLevel="0" collapsed="false">
      <c r="A9" s="35" t="s">
        <v>12</v>
      </c>
      <c r="B9" s="36" t="s">
        <v>37</v>
      </c>
      <c r="C9" s="41" t="s">
        <v>13</v>
      </c>
      <c r="D9" s="14" t="n">
        <v>100000</v>
      </c>
      <c r="E9" s="36"/>
    </row>
    <row r="10" customFormat="false" ht="15" hidden="false" customHeight="false" outlineLevel="0" collapsed="false">
      <c r="A10" s="38" t="s">
        <v>14</v>
      </c>
      <c r="B10" s="39" t="s">
        <v>38</v>
      </c>
      <c r="C10" s="40" t="s">
        <v>13</v>
      </c>
      <c r="D10" s="18" t="n">
        <v>70000</v>
      </c>
      <c r="E10" s="39" t="s">
        <v>39</v>
      </c>
    </row>
    <row r="11" customFormat="false" ht="15" hidden="false" customHeight="false" outlineLevel="0" collapsed="false">
      <c r="A11" s="35" t="s">
        <v>14</v>
      </c>
      <c r="B11" s="36" t="s">
        <v>40</v>
      </c>
      <c r="C11" s="42" t="s">
        <v>17</v>
      </c>
      <c r="D11" s="14" t="n">
        <v>100000</v>
      </c>
      <c r="E11" s="36" t="s">
        <v>41</v>
      </c>
    </row>
    <row r="12" customFormat="false" ht="15" hidden="false" customHeight="false" outlineLevel="0" collapsed="false">
      <c r="A12" s="38" t="s">
        <v>14</v>
      </c>
      <c r="B12" s="39" t="s">
        <v>42</v>
      </c>
      <c r="C12" s="43" t="s">
        <v>17</v>
      </c>
      <c r="D12" s="18" t="n">
        <v>19000</v>
      </c>
      <c r="E12" s="39"/>
    </row>
    <row r="13" customFormat="false" ht="15" hidden="false" customHeight="false" outlineLevel="0" collapsed="false">
      <c r="A13" s="35" t="s">
        <v>14</v>
      </c>
      <c r="B13" s="36" t="s">
        <v>43</v>
      </c>
      <c r="C13" s="42" t="s">
        <v>17</v>
      </c>
      <c r="D13" s="14" t="n">
        <v>21000</v>
      </c>
      <c r="E13" s="36"/>
    </row>
    <row r="14" customFormat="false" ht="15" hidden="false" customHeight="false" outlineLevel="0" collapsed="false">
      <c r="A14" s="38" t="s">
        <v>14</v>
      </c>
      <c r="B14" s="39" t="s">
        <v>44</v>
      </c>
      <c r="C14" s="40" t="s">
        <v>13</v>
      </c>
      <c r="D14" s="18" t="n">
        <v>113000</v>
      </c>
      <c r="E14" s="39" t="s">
        <v>39</v>
      </c>
    </row>
    <row r="15" customFormat="false" ht="15" hidden="false" customHeight="false" outlineLevel="0" collapsed="false">
      <c r="A15" s="35" t="s">
        <v>14</v>
      </c>
      <c r="B15" s="36" t="s">
        <v>45</v>
      </c>
      <c r="C15" s="41" t="s">
        <v>13</v>
      </c>
      <c r="D15" s="14" t="n">
        <v>92000</v>
      </c>
      <c r="E15" s="36"/>
    </row>
    <row r="16" customFormat="false" ht="15" hidden="false" customHeight="false" outlineLevel="0" collapsed="false">
      <c r="A16" s="38" t="s">
        <v>14</v>
      </c>
      <c r="B16" s="39" t="s">
        <v>46</v>
      </c>
      <c r="C16" s="40" t="s">
        <v>13</v>
      </c>
      <c r="D16" s="18" t="n">
        <v>95000</v>
      </c>
      <c r="E16" s="39"/>
    </row>
    <row r="17" customFormat="false" ht="15" hidden="false" customHeight="false" outlineLevel="0" collapsed="false">
      <c r="A17" s="35" t="s">
        <v>14</v>
      </c>
      <c r="B17" s="36" t="s">
        <v>47</v>
      </c>
      <c r="C17" s="41" t="s">
        <v>13</v>
      </c>
      <c r="D17" s="14" t="n">
        <v>400000</v>
      </c>
      <c r="E17" s="36" t="s">
        <v>32</v>
      </c>
    </row>
    <row r="18" customFormat="false" ht="15" hidden="false" customHeight="false" outlineLevel="0" collapsed="false">
      <c r="A18" s="38" t="s">
        <v>14</v>
      </c>
      <c r="B18" s="39" t="s">
        <v>48</v>
      </c>
      <c r="C18" s="40" t="s">
        <v>13</v>
      </c>
      <c r="D18" s="18" t="n">
        <v>400000</v>
      </c>
      <c r="E18" s="39" t="s">
        <v>32</v>
      </c>
    </row>
    <row r="19" customFormat="false" ht="15" hidden="false" customHeight="false" outlineLevel="0" collapsed="false">
      <c r="A19" s="35" t="s">
        <v>14</v>
      </c>
      <c r="B19" s="36" t="s">
        <v>49</v>
      </c>
      <c r="C19" s="41" t="s">
        <v>13</v>
      </c>
      <c r="D19" s="14" t="n">
        <v>220000</v>
      </c>
      <c r="E19" s="36" t="s">
        <v>32</v>
      </c>
    </row>
    <row r="20" customFormat="false" ht="15" hidden="false" customHeight="false" outlineLevel="0" collapsed="false">
      <c r="A20" s="38" t="s">
        <v>14</v>
      </c>
      <c r="B20" s="39" t="s">
        <v>50</v>
      </c>
      <c r="C20" s="40" t="s">
        <v>13</v>
      </c>
      <c r="D20" s="18" t="n">
        <v>40000</v>
      </c>
      <c r="E20" s="39"/>
    </row>
    <row r="21" customFormat="false" ht="15" hidden="false" customHeight="false" outlineLevel="0" collapsed="false">
      <c r="A21" s="35" t="s">
        <v>14</v>
      </c>
      <c r="B21" s="36" t="s">
        <v>51</v>
      </c>
      <c r="C21" s="41" t="s">
        <v>13</v>
      </c>
      <c r="D21" s="14" t="n">
        <v>80000</v>
      </c>
      <c r="E21" s="36" t="s">
        <v>52</v>
      </c>
    </row>
    <row r="22" customFormat="false" ht="15" hidden="false" customHeight="false" outlineLevel="0" collapsed="false">
      <c r="A22" s="38" t="s">
        <v>14</v>
      </c>
      <c r="B22" s="39" t="s">
        <v>53</v>
      </c>
      <c r="C22" s="44" t="s">
        <v>15</v>
      </c>
      <c r="D22" s="18" t="n">
        <v>60000</v>
      </c>
      <c r="E22" s="39"/>
    </row>
    <row r="23" customFormat="false" ht="15" hidden="false" customHeight="false" outlineLevel="0" collapsed="false">
      <c r="A23" s="35" t="s">
        <v>14</v>
      </c>
      <c r="B23" s="36" t="s">
        <v>54</v>
      </c>
      <c r="C23" s="42" t="s">
        <v>17</v>
      </c>
      <c r="D23" s="14" t="n">
        <v>22000</v>
      </c>
      <c r="E23" s="36" t="s">
        <v>55</v>
      </c>
    </row>
    <row r="24" customFormat="false" ht="15" hidden="false" customHeight="false" outlineLevel="0" collapsed="false">
      <c r="A24" s="38" t="s">
        <v>14</v>
      </c>
      <c r="B24" s="39" t="s">
        <v>56</v>
      </c>
      <c r="C24" s="40" t="s">
        <v>13</v>
      </c>
      <c r="D24" s="18" t="n">
        <v>35000</v>
      </c>
      <c r="E24" s="39"/>
    </row>
    <row r="25" customFormat="false" ht="15" hidden="false" customHeight="false" outlineLevel="0" collapsed="false">
      <c r="A25" s="35" t="s">
        <v>14</v>
      </c>
      <c r="B25" s="36" t="s">
        <v>50</v>
      </c>
      <c r="C25" s="41" t="s">
        <v>13</v>
      </c>
      <c r="D25" s="14" t="n">
        <v>25000</v>
      </c>
      <c r="E25" s="36"/>
    </row>
    <row r="26" customFormat="false" ht="15" hidden="false" customHeight="false" outlineLevel="0" collapsed="false">
      <c r="A26" s="38" t="s">
        <v>16</v>
      </c>
      <c r="B26" s="39" t="s">
        <v>57</v>
      </c>
      <c r="C26" s="44" t="s">
        <v>15</v>
      </c>
      <c r="D26" s="18" t="n">
        <v>54000</v>
      </c>
      <c r="E26" s="39"/>
    </row>
    <row r="27" customFormat="false" ht="15" hidden="false" customHeight="false" outlineLevel="0" collapsed="false">
      <c r="A27" s="35" t="s">
        <v>16</v>
      </c>
      <c r="B27" s="36" t="s">
        <v>58</v>
      </c>
      <c r="C27" s="41" t="s">
        <v>13</v>
      </c>
      <c r="D27" s="14" t="n">
        <v>65000</v>
      </c>
      <c r="E27" s="36" t="s">
        <v>52</v>
      </c>
    </row>
    <row r="28" customFormat="false" ht="15" hidden="false" customHeight="false" outlineLevel="0" collapsed="false">
      <c r="A28" s="38" t="s">
        <v>16</v>
      </c>
      <c r="B28" s="39" t="s">
        <v>59</v>
      </c>
      <c r="C28" s="40" t="s">
        <v>13</v>
      </c>
      <c r="D28" s="18" t="n">
        <v>220000</v>
      </c>
      <c r="E28" s="39"/>
    </row>
    <row r="29" customFormat="false" ht="15" hidden="false" customHeight="false" outlineLevel="0" collapsed="false">
      <c r="A29" s="35" t="s">
        <v>16</v>
      </c>
      <c r="B29" s="36" t="s">
        <v>60</v>
      </c>
      <c r="C29" s="41" t="s">
        <v>13</v>
      </c>
      <c r="D29" s="14" t="n">
        <v>150000</v>
      </c>
      <c r="E29" s="36"/>
    </row>
    <row r="30" customFormat="false" ht="15" hidden="false" customHeight="false" outlineLevel="0" collapsed="false">
      <c r="A30" s="38" t="s">
        <v>16</v>
      </c>
      <c r="B30" s="39" t="s">
        <v>51</v>
      </c>
      <c r="C30" s="40" t="s">
        <v>13</v>
      </c>
      <c r="D30" s="18" t="n">
        <v>70000</v>
      </c>
      <c r="E30" s="39" t="s">
        <v>52</v>
      </c>
    </row>
    <row r="31" customFormat="false" ht="15" hidden="false" customHeight="false" outlineLevel="0" collapsed="false">
      <c r="A31" s="35" t="s">
        <v>16</v>
      </c>
      <c r="B31" s="36" t="s">
        <v>61</v>
      </c>
      <c r="C31" s="41" t="s">
        <v>13</v>
      </c>
      <c r="D31" s="14" t="n">
        <v>75000</v>
      </c>
      <c r="E31" s="36"/>
    </row>
    <row r="32" customFormat="false" ht="15" hidden="false" customHeight="false" outlineLevel="0" collapsed="false">
      <c r="A32" s="38" t="s">
        <v>16</v>
      </c>
      <c r="B32" s="39" t="s">
        <v>62</v>
      </c>
      <c r="C32" s="40" t="s">
        <v>13</v>
      </c>
      <c r="D32" s="18" t="n">
        <v>55000</v>
      </c>
      <c r="E32" s="39"/>
    </row>
    <row r="33" customFormat="false" ht="15" hidden="false" customHeight="false" outlineLevel="0" collapsed="false">
      <c r="A33" s="35" t="s">
        <v>16</v>
      </c>
      <c r="B33" s="36" t="s">
        <v>63</v>
      </c>
      <c r="C33" s="42" t="s">
        <v>17</v>
      </c>
      <c r="D33" s="14" t="n">
        <v>40000</v>
      </c>
      <c r="E33" s="36" t="s">
        <v>55</v>
      </c>
    </row>
    <row r="34" customFormat="false" ht="15" hidden="false" customHeight="false" outlineLevel="0" collapsed="false">
      <c r="A34" s="38" t="s">
        <v>16</v>
      </c>
      <c r="B34" s="39" t="s">
        <v>64</v>
      </c>
      <c r="C34" s="40" t="s">
        <v>13</v>
      </c>
      <c r="D34" s="18" t="n">
        <v>25000</v>
      </c>
      <c r="E34" s="39" t="s">
        <v>52</v>
      </c>
    </row>
    <row r="35" customFormat="false" ht="15" hidden="false" customHeight="false" outlineLevel="0" collapsed="false">
      <c r="A35" s="35" t="s">
        <v>16</v>
      </c>
      <c r="B35" s="36" t="s">
        <v>65</v>
      </c>
      <c r="C35" s="41" t="s">
        <v>13</v>
      </c>
      <c r="D35" s="14" t="n">
        <v>21000</v>
      </c>
      <c r="E35" s="36"/>
    </row>
    <row r="36" customFormat="false" ht="15" hidden="false" customHeight="false" outlineLevel="0" collapsed="false">
      <c r="A36" s="38" t="s">
        <v>16</v>
      </c>
      <c r="B36" s="39" t="s">
        <v>66</v>
      </c>
      <c r="C36" s="40" t="s">
        <v>13</v>
      </c>
      <c r="D36" s="18" t="n">
        <v>220000</v>
      </c>
      <c r="E36" s="39"/>
    </row>
    <row r="37" customFormat="false" ht="15" hidden="false" customHeight="false" outlineLevel="0" collapsed="false">
      <c r="A37" s="35" t="s">
        <v>16</v>
      </c>
      <c r="B37" s="36" t="s">
        <v>67</v>
      </c>
      <c r="C37" s="42" t="s">
        <v>17</v>
      </c>
      <c r="D37" s="14" t="n">
        <v>20000</v>
      </c>
      <c r="E37" s="36"/>
    </row>
    <row r="38" customFormat="false" ht="15" hidden="false" customHeight="false" outlineLevel="0" collapsed="false">
      <c r="A38" s="45"/>
      <c r="B38" s="46"/>
      <c r="C38" s="47"/>
      <c r="D38" s="48"/>
      <c r="E38" s="46"/>
    </row>
    <row r="39" customFormat="false" ht="15" hidden="false" customHeight="false" outlineLevel="0" collapsed="false">
      <c r="A39" s="49"/>
      <c r="B39" s="29"/>
      <c r="C39" s="50"/>
      <c r="D39" s="51"/>
      <c r="E39" s="29"/>
    </row>
    <row r="40" customFormat="false" ht="15" hidden="false" customHeight="false" outlineLevel="0" collapsed="false">
      <c r="A40" s="45"/>
      <c r="B40" s="46"/>
      <c r="C40" s="47"/>
      <c r="D40" s="48"/>
      <c r="E40" s="46"/>
    </row>
    <row r="41" customFormat="false" ht="15" hidden="false" customHeight="false" outlineLevel="0" collapsed="false">
      <c r="A41" s="49"/>
      <c r="B41" s="29"/>
      <c r="C41" s="50"/>
      <c r="D41" s="51"/>
      <c r="E41" s="29"/>
    </row>
    <row r="42" customFormat="false" ht="15" hidden="false" customHeight="false" outlineLevel="0" collapsed="false">
      <c r="A42" s="45"/>
      <c r="B42" s="46"/>
      <c r="C42" s="47"/>
      <c r="D42" s="48"/>
      <c r="E42" s="46"/>
    </row>
    <row r="43" customFormat="false" ht="15" hidden="false" customHeight="false" outlineLevel="0" collapsed="false">
      <c r="A43" s="49"/>
      <c r="B43" s="29"/>
      <c r="C43" s="50"/>
      <c r="D43" s="51"/>
      <c r="E43" s="29"/>
    </row>
    <row r="44" customFormat="false" ht="15" hidden="false" customHeight="false" outlineLevel="0" collapsed="false">
      <c r="A44" s="45"/>
      <c r="B44" s="46"/>
      <c r="C44" s="47"/>
      <c r="D44" s="48"/>
      <c r="E44" s="46"/>
    </row>
    <row r="45" customFormat="false" ht="15" hidden="false" customHeight="false" outlineLevel="0" collapsed="false">
      <c r="A45" s="49"/>
      <c r="B45" s="29"/>
      <c r="C45" s="50"/>
      <c r="D45" s="51"/>
      <c r="E45" s="29"/>
    </row>
    <row r="46" customFormat="false" ht="15" hidden="false" customHeight="false" outlineLevel="0" collapsed="false">
      <c r="A46" s="45"/>
      <c r="B46" s="46"/>
      <c r="C46" s="47"/>
      <c r="D46" s="48"/>
      <c r="E46" s="46"/>
    </row>
    <row r="47" customFormat="false" ht="15" hidden="false" customHeight="false" outlineLevel="0" collapsed="false">
      <c r="A47" s="49"/>
      <c r="B47" s="29"/>
      <c r="C47" s="50"/>
      <c r="D47" s="51"/>
      <c r="E47" s="29"/>
    </row>
    <row r="48" customFormat="false" ht="15" hidden="false" customHeight="false" outlineLevel="0" collapsed="false">
      <c r="A48" s="45"/>
      <c r="B48" s="46"/>
      <c r="C48" s="47"/>
      <c r="D48" s="48"/>
      <c r="E48" s="46"/>
    </row>
    <row r="49" customFormat="false" ht="15" hidden="false" customHeight="false" outlineLevel="0" collapsed="false">
      <c r="A49" s="49"/>
      <c r="B49" s="29"/>
      <c r="C49" s="50"/>
      <c r="D49" s="51"/>
      <c r="E49" s="29"/>
    </row>
    <row r="50" customFormat="false" ht="15" hidden="false" customHeight="false" outlineLevel="0" collapsed="false">
      <c r="A50" s="45"/>
      <c r="B50" s="46"/>
      <c r="C50" s="47"/>
      <c r="D50" s="48"/>
      <c r="E50" s="46"/>
    </row>
    <row r="51" customFormat="false" ht="15" hidden="false" customHeight="false" outlineLevel="0" collapsed="false">
      <c r="A51" s="49"/>
      <c r="B51" s="29"/>
      <c r="C51" s="50"/>
      <c r="D51" s="51"/>
      <c r="E51" s="29"/>
    </row>
    <row r="52" customFormat="false" ht="15" hidden="false" customHeight="false" outlineLevel="0" collapsed="false">
      <c r="A52" s="45"/>
      <c r="B52" s="46"/>
      <c r="C52" s="47"/>
      <c r="D52" s="48"/>
      <c r="E52" s="46"/>
    </row>
    <row r="53" customFormat="false" ht="15" hidden="false" customHeight="false" outlineLevel="0" collapsed="false">
      <c r="A53" s="49"/>
      <c r="B53" s="29"/>
      <c r="C53" s="50"/>
      <c r="D53" s="51"/>
      <c r="E53" s="29"/>
    </row>
    <row r="54" customFormat="false" ht="15" hidden="false" customHeight="false" outlineLevel="0" collapsed="false">
      <c r="A54" s="45"/>
      <c r="B54" s="46"/>
      <c r="C54" s="47"/>
      <c r="D54" s="48"/>
      <c r="E54" s="46"/>
    </row>
    <row r="55" customFormat="false" ht="15" hidden="false" customHeight="false" outlineLevel="0" collapsed="false">
      <c r="A55" s="49"/>
      <c r="B55" s="29"/>
      <c r="C55" s="50"/>
      <c r="D55" s="51"/>
      <c r="E55" s="29"/>
    </row>
    <row r="56" customFormat="false" ht="15" hidden="false" customHeight="false" outlineLevel="0" collapsed="false">
      <c r="A56" s="45"/>
      <c r="B56" s="46"/>
      <c r="C56" s="47"/>
      <c r="D56" s="48"/>
      <c r="E56" s="46"/>
    </row>
    <row r="57" customFormat="false" ht="15" hidden="false" customHeight="false" outlineLevel="0" collapsed="false">
      <c r="A57" s="49"/>
      <c r="B57" s="29"/>
      <c r="C57" s="50"/>
      <c r="D57" s="51"/>
      <c r="E57" s="29"/>
    </row>
    <row r="58" customFormat="false" ht="15" hidden="false" customHeight="false" outlineLevel="0" collapsed="false">
      <c r="A58" s="45"/>
      <c r="B58" s="46"/>
      <c r="C58" s="47"/>
      <c r="D58" s="48"/>
      <c r="E58" s="46"/>
    </row>
    <row r="59" customFormat="false" ht="15" hidden="false" customHeight="false" outlineLevel="0" collapsed="false">
      <c r="A59" s="49"/>
      <c r="B59" s="29"/>
      <c r="C59" s="50"/>
      <c r="D59" s="51"/>
      <c r="E59" s="29"/>
    </row>
    <row r="60" customFormat="false" ht="15" hidden="false" customHeight="false" outlineLevel="0" collapsed="false">
      <c r="A60" s="45"/>
      <c r="B60" s="46"/>
      <c r="C60" s="47"/>
      <c r="D60" s="48"/>
      <c r="E60" s="46"/>
    </row>
    <row r="61" customFormat="false" ht="15" hidden="false" customHeight="false" outlineLevel="0" collapsed="false">
      <c r="A61" s="49"/>
      <c r="B61" s="29"/>
      <c r="C61" s="50"/>
      <c r="D61" s="51"/>
      <c r="E61" s="29"/>
    </row>
    <row r="62" customFormat="false" ht="15" hidden="false" customHeight="false" outlineLevel="0" collapsed="false">
      <c r="A62" s="45"/>
      <c r="B62" s="46"/>
      <c r="C62" s="47"/>
      <c r="D62" s="48"/>
      <c r="E62" s="46"/>
    </row>
    <row r="63" customFormat="false" ht="15" hidden="false" customHeight="false" outlineLevel="0" collapsed="false">
      <c r="A63" s="49"/>
      <c r="B63" s="29"/>
      <c r="C63" s="50"/>
      <c r="D63" s="51"/>
      <c r="E63" s="29"/>
    </row>
    <row r="64" customFormat="false" ht="15" hidden="false" customHeight="false" outlineLevel="0" collapsed="false">
      <c r="A64" s="45"/>
      <c r="B64" s="46"/>
      <c r="C64" s="47"/>
      <c r="D64" s="48"/>
      <c r="E64" s="46"/>
    </row>
    <row r="65" customFormat="false" ht="15" hidden="false" customHeight="false" outlineLevel="0" collapsed="false">
      <c r="A65" s="49"/>
      <c r="B65" s="29"/>
      <c r="C65" s="50"/>
      <c r="D65" s="51"/>
      <c r="E65" s="29"/>
    </row>
    <row r="66" customFormat="false" ht="15" hidden="false" customHeight="false" outlineLevel="0" collapsed="false">
      <c r="A66" s="45"/>
      <c r="B66" s="46"/>
      <c r="C66" s="47"/>
      <c r="D66" s="48"/>
      <c r="E66" s="46"/>
    </row>
    <row r="67" customFormat="false" ht="15" hidden="false" customHeight="false" outlineLevel="0" collapsed="false">
      <c r="A67" s="49"/>
      <c r="B67" s="29"/>
      <c r="C67" s="50"/>
      <c r="D67" s="51"/>
      <c r="E67" s="29"/>
    </row>
    <row r="68" customFormat="false" ht="15" hidden="false" customHeight="false" outlineLevel="0" collapsed="false">
      <c r="A68" s="45"/>
      <c r="B68" s="46"/>
      <c r="C68" s="47"/>
      <c r="D68" s="48"/>
      <c r="E68" s="46"/>
    </row>
    <row r="69" customFormat="false" ht="15" hidden="false" customHeight="false" outlineLevel="0" collapsed="false">
      <c r="A69" s="49"/>
      <c r="B69" s="29"/>
      <c r="C69" s="50"/>
      <c r="D69" s="51"/>
      <c r="E69" s="29"/>
    </row>
    <row r="70" customFormat="false" ht="15" hidden="false" customHeight="false" outlineLevel="0" collapsed="false">
      <c r="A70" s="45"/>
      <c r="B70" s="46"/>
      <c r="C70" s="47"/>
      <c r="D70" s="48"/>
      <c r="E70" s="46"/>
    </row>
    <row r="71" customFormat="false" ht="15" hidden="false" customHeight="false" outlineLevel="0" collapsed="false">
      <c r="A71" s="49"/>
      <c r="B71" s="29"/>
      <c r="C71" s="50"/>
      <c r="D71" s="51"/>
      <c r="E71" s="29"/>
    </row>
    <row r="72" customFormat="false" ht="15" hidden="false" customHeight="false" outlineLevel="0" collapsed="false">
      <c r="A72" s="45"/>
      <c r="B72" s="46"/>
      <c r="C72" s="47"/>
      <c r="D72" s="48"/>
      <c r="E72" s="46"/>
    </row>
    <row r="73" customFormat="false" ht="15" hidden="false" customHeight="false" outlineLevel="0" collapsed="false">
      <c r="A73" s="49"/>
      <c r="B73" s="29"/>
      <c r="C73" s="50"/>
      <c r="D73" s="51"/>
      <c r="E73" s="29"/>
    </row>
    <row r="74" customFormat="false" ht="15" hidden="false" customHeight="false" outlineLevel="0" collapsed="false">
      <c r="A74" s="45"/>
      <c r="B74" s="46"/>
      <c r="C74" s="47"/>
      <c r="D74" s="48"/>
      <c r="E74" s="46"/>
    </row>
    <row r="75" customFormat="false" ht="15" hidden="false" customHeight="false" outlineLevel="0" collapsed="false">
      <c r="A75" s="49"/>
      <c r="B75" s="29"/>
      <c r="C75" s="50"/>
      <c r="D75" s="51"/>
      <c r="E75" s="29"/>
    </row>
    <row r="76" customFormat="false" ht="15" hidden="false" customHeight="false" outlineLevel="0" collapsed="false">
      <c r="A76" s="45"/>
      <c r="B76" s="46"/>
      <c r="C76" s="47"/>
      <c r="D76" s="48"/>
      <c r="E76" s="46"/>
    </row>
    <row r="77" customFormat="false" ht="15" hidden="false" customHeight="false" outlineLevel="0" collapsed="false">
      <c r="A77" s="49"/>
      <c r="B77" s="29"/>
      <c r="C77" s="50"/>
      <c r="D77" s="51"/>
      <c r="E77" s="29"/>
    </row>
    <row r="78" customFormat="false" ht="15" hidden="false" customHeight="false" outlineLevel="0" collapsed="false">
      <c r="A78" s="45"/>
      <c r="B78" s="46"/>
      <c r="C78" s="47"/>
      <c r="D78" s="48"/>
      <c r="E78" s="46"/>
    </row>
    <row r="79" customFormat="false" ht="15" hidden="false" customHeight="false" outlineLevel="0" collapsed="false">
      <c r="A79" s="49"/>
      <c r="B79" s="29"/>
      <c r="C79" s="50"/>
      <c r="D79" s="51"/>
      <c r="E79" s="29"/>
    </row>
    <row r="80" customFormat="false" ht="15" hidden="false" customHeight="false" outlineLevel="0" collapsed="false">
      <c r="A80" s="45"/>
      <c r="B80" s="46"/>
      <c r="C80" s="47"/>
      <c r="D80" s="48"/>
      <c r="E80" s="46"/>
    </row>
    <row r="82" customFormat="false" ht="15" hidden="false" customHeight="false" outlineLevel="0" collapsed="false">
      <c r="C82" s="52" t="s">
        <v>68</v>
      </c>
      <c r="D82" s="53" t="n">
        <f aca="false">SUM(D3:D80)</f>
        <v>4357000</v>
      </c>
    </row>
  </sheetData>
  <mergeCells count="1">
    <mergeCell ref="A1:E1"/>
  </mergeCells>
  <dataValidations count="2">
    <dataValidation allowBlank="true" error="Chọn 1 trong các danh mục có sẵn" errorStyle="stop" operator="between" prompt="Chọn danh mục" showDropDown="false" showErrorMessage="false" showInputMessage="false" sqref="C3:C80" type="list">
      <formula1>"Ăn uống,Di chuyển,Đồ dùng &amp; tạp hóa"</formula1>
      <formula2>0</formula2>
    </dataValidation>
    <dataValidation allowBlank="true" errorStyle="stop" operator="between" showDropDown="false" showErrorMessage="false" showInputMessage="false" sqref="A3:A80" type="list">
      <formula1>"4/6,5/6,6/6,7/6,8/6"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2026-06-06T03:14:25Z</dcterms:created>
  <dc:creator>openpyxl</dc:creator>
  <dc:description/>
  <dc:language>en-US</dc:language>
  <cp:lastModifiedBy/>
  <dcterms:modified xsi:type="dcterms:W3CDTF">2026-06-06T03:14:28Z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